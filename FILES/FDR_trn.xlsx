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h1krishnan\HW 10\FILES\"/>
    </mc:Choice>
  </mc:AlternateContent>
  <xr:revisionPtr revIDLastSave="0" documentId="13_ncr:1_{97725FD0-5FE7-4B5E-9127-F7FD5594E4CB}" xr6:coauthVersionLast="47" xr6:coauthVersionMax="47" xr10:uidLastSave="{00000000-0000-0000-0000-000000000000}"/>
  <bookViews>
    <workbookView xWindow="-108" yWindow="-108" windowWidth="23256" windowHeight="13896" xr2:uid="{B2502F21-B368-4F75-9A0D-8B011D066F87}"/>
  </bookViews>
  <sheets>
    <sheet name="FDR_t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</calcChain>
</file>

<file path=xl/sharedStrings.xml><?xml version="1.0" encoding="utf-8"?>
<sst xmlns="http://schemas.openxmlformats.org/spreadsheetml/2006/main" count="21" uniqueCount="20">
  <si>
    <t>KS</t>
  </si>
  <si>
    <t>FPR</t>
  </si>
  <si>
    <t># Records</t>
  </si>
  <si>
    <t># Goods</t>
  </si>
  <si>
    <t># Bads</t>
  </si>
  <si>
    <t>Fraud Rate</t>
  </si>
  <si>
    <t>Population Bin %</t>
  </si>
  <si>
    <t>Bin Statistics</t>
  </si>
  <si>
    <t>#Records</t>
  </si>
  <si>
    <t>#Goods</t>
  </si>
  <si>
    <t>#Bads</t>
  </si>
  <si>
    <t>%Goods</t>
  </si>
  <si>
    <t>%Bads</t>
  </si>
  <si>
    <t>Total Records</t>
  </si>
  <si>
    <t>Cumulative Goods</t>
  </si>
  <si>
    <t>Cumulative Bads</t>
  </si>
  <si>
    <t>% Goods</t>
  </si>
  <si>
    <t>% Bads FDR</t>
  </si>
  <si>
    <t>Training</t>
  </si>
  <si>
    <t>Cumilative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</si>
</sst>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4" borderId="10" xfId="8" applyFont="1" applyBorder="1" applyAlignment="1">
      <alignment horizontal="center"/>
    </xf>
    <xf numFmtId="0" fontId="18" fillId="4" borderId="11" xfId="8" applyFont="1" applyBorder="1" applyAlignment="1">
      <alignment horizontal="center"/>
    </xf>
    <xf numFmtId="0" fontId="0" fillId="0" borderId="0" xfId="0"/>
    <xf numFmtId="0" fontId="18" fillId="4" borderId="10" xfId="8" applyFont="1" applyBorder="1" applyAlignment="1">
      <alignment horizontal="center"/>
    </xf>
    <xf numFmtId="0" fontId="19" fillId="2" borderId="10" xfId="6" applyFont="1" applyBorder="1" applyAlignment="1">
      <alignment horizontal="center"/>
    </xf>
    <xf numFmtId="0" fontId="1" fillId="10" borderId="10" xfId="19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6B26-5E63-4781-BCA8-05633569499C}">
  <dimension ref="B3:O26"/>
  <sheetViews>
    <sheetView showGridLines="0" tabSelected="1" workbookViewId="0">
      <selection activeCell="I5" sqref="I5:O5"/>
    </sheetView>
  </sheetViews>
  <sheetFormatPr defaultRowHeight="14.4" x14ac:dyDescent="0.3"/>
  <cols>
    <col min="2" max="2" width="16.6640625" bestFit="1" customWidth="1"/>
    <col min="3" max="3" width="13.109375" bestFit="1" customWidth="1"/>
    <col min="4" max="4" width="9.6640625" bestFit="1" customWidth="1"/>
    <col min="5" max="5" width="8" bestFit="1" customWidth="1"/>
    <col min="6" max="6" width="18.5546875" customWidth="1"/>
    <col min="7" max="7" width="8.5546875" bestFit="1" customWidth="1"/>
    <col min="8" max="8" width="7.21875" bestFit="1" customWidth="1"/>
    <col min="9" max="9" width="13.5546875" bestFit="1" customWidth="1"/>
    <col min="10" max="10" width="18.21875" bestFit="1" customWidth="1"/>
    <col min="11" max="11" width="16.77734375" bestFit="1" customWidth="1"/>
    <col min="12" max="12" width="9" bestFit="1" customWidth="1"/>
    <col min="13" max="13" width="11.88671875" bestFit="1" customWidth="1"/>
    <col min="14" max="14" width="3.44140625" bestFit="1" customWidth="1"/>
    <col min="15" max="15" width="4.5546875" bestFit="1" customWidth="1"/>
  </cols>
  <sheetData>
    <row r="3" spans="2:15" ht="15.6" x14ac:dyDescent="0.3">
      <c r="B3" s="4" t="s">
        <v>18</v>
      </c>
      <c r="C3" s="4" t="s">
        <v>2</v>
      </c>
      <c r="D3" s="4" t="s">
        <v>3</v>
      </c>
      <c r="E3" s="4" t="s">
        <v>4</v>
      </c>
      <c r="F3" s="4" t="s">
        <v>5</v>
      </c>
      <c r="G3" s="3"/>
      <c r="H3" s="3"/>
    </row>
    <row r="4" spans="2:15" ht="15.6" x14ac:dyDescent="0.3">
      <c r="B4" s="4"/>
      <c r="C4" s="4">
        <f>SUM(D7:D26)</f>
        <v>116691</v>
      </c>
      <c r="D4" s="4">
        <f>SUM(E7:E26)</f>
        <v>110632</v>
      </c>
      <c r="E4" s="4">
        <f>SUM(F7:F26)</f>
        <v>6059</v>
      </c>
      <c r="F4" s="4">
        <f>E4/C4</f>
        <v>5.1923455964898751E-2</v>
      </c>
      <c r="G4" s="3"/>
      <c r="H4" s="3"/>
    </row>
    <row r="5" spans="2:15" ht="15.6" x14ac:dyDescent="0.3">
      <c r="B5" s="4"/>
      <c r="C5" s="2" t="s">
        <v>7</v>
      </c>
      <c r="D5" s="2"/>
      <c r="E5" s="2"/>
      <c r="F5" s="2"/>
      <c r="G5" s="1"/>
      <c r="H5" s="1"/>
      <c r="I5" s="1" t="s">
        <v>19</v>
      </c>
      <c r="J5" s="1"/>
      <c r="K5" s="1"/>
      <c r="L5" s="1"/>
      <c r="M5" s="1"/>
      <c r="N5" s="1"/>
      <c r="O5" s="1"/>
    </row>
    <row r="6" spans="2:15" ht="15.6" x14ac:dyDescent="0.3"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0</v>
      </c>
      <c r="O6" s="4" t="s">
        <v>1</v>
      </c>
    </row>
    <row r="7" spans="2:15" ht="15.6" x14ac:dyDescent="0.3">
      <c r="B7" s="4">
        <v>1</v>
      </c>
      <c r="C7" s="5">
        <v>1</v>
      </c>
      <c r="D7" s="5">
        <v>5835</v>
      </c>
      <c r="E7" s="5">
        <v>1018</v>
      </c>
      <c r="F7" s="5">
        <v>4817</v>
      </c>
      <c r="G7" s="5">
        <v>17.446443873179</v>
      </c>
      <c r="H7" s="5">
        <v>82.553556126820894</v>
      </c>
      <c r="I7" s="6">
        <v>5835</v>
      </c>
      <c r="J7" s="6">
        <v>1018</v>
      </c>
      <c r="K7" s="6">
        <v>4817</v>
      </c>
      <c r="L7" s="6">
        <v>0.177049636509095</v>
      </c>
      <c r="M7" s="6">
        <v>56.844465423648799</v>
      </c>
      <c r="N7" s="6">
        <v>56.667415787139703</v>
      </c>
      <c r="O7" s="6">
        <v>0.211334855719327</v>
      </c>
    </row>
    <row r="8" spans="2:15" ht="15.6" x14ac:dyDescent="0.3">
      <c r="B8" s="4">
        <v>2</v>
      </c>
      <c r="C8" s="5">
        <v>2</v>
      </c>
      <c r="D8" s="5">
        <v>5834</v>
      </c>
      <c r="E8" s="5">
        <v>5399</v>
      </c>
      <c r="F8" s="5">
        <v>435</v>
      </c>
      <c r="G8" s="5">
        <v>92.543709290366806</v>
      </c>
      <c r="H8" s="5">
        <v>7.4562907096331799</v>
      </c>
      <c r="I8" s="6">
        <v>11669</v>
      </c>
      <c r="J8" s="6">
        <v>6417</v>
      </c>
      <c r="K8" s="6">
        <v>5252</v>
      </c>
      <c r="L8" s="6">
        <v>1.11603881874152</v>
      </c>
      <c r="M8" s="6">
        <v>61.977814491385402</v>
      </c>
      <c r="N8" s="6">
        <v>60.861775672643802</v>
      </c>
      <c r="O8" s="6">
        <v>1.22182025894897</v>
      </c>
    </row>
    <row r="9" spans="2:15" ht="15.6" x14ac:dyDescent="0.3">
      <c r="B9" s="4">
        <v>3</v>
      </c>
      <c r="C9" s="5">
        <v>3</v>
      </c>
      <c r="D9" s="5">
        <v>5835</v>
      </c>
      <c r="E9" s="5">
        <v>5754</v>
      </c>
      <c r="F9" s="5">
        <v>81</v>
      </c>
      <c r="G9" s="5">
        <v>98.611825192802002</v>
      </c>
      <c r="H9" s="5">
        <v>1.3881748071979401</v>
      </c>
      <c r="I9" s="6">
        <v>17504</v>
      </c>
      <c r="J9" s="6">
        <v>12171</v>
      </c>
      <c r="K9" s="6">
        <v>5333</v>
      </c>
      <c r="L9" s="6">
        <v>2.1167692789314398</v>
      </c>
      <c r="M9" s="6">
        <v>62.9336794902053</v>
      </c>
      <c r="N9" s="6">
        <v>60.8169102112738</v>
      </c>
      <c r="O9" s="6">
        <v>2.2822051378211099</v>
      </c>
    </row>
    <row r="10" spans="2:15" ht="15.6" x14ac:dyDescent="0.3">
      <c r="B10" s="4">
        <v>4</v>
      </c>
      <c r="C10" s="5">
        <v>4</v>
      </c>
      <c r="D10" s="5">
        <v>5834</v>
      </c>
      <c r="E10" s="5">
        <v>5765</v>
      </c>
      <c r="F10" s="5">
        <v>69</v>
      </c>
      <c r="G10" s="5">
        <v>98.817278025368495</v>
      </c>
      <c r="H10" s="5">
        <v>1.1827219746314701</v>
      </c>
      <c r="I10" s="6">
        <v>23338</v>
      </c>
      <c r="J10" s="6">
        <v>17936</v>
      </c>
      <c r="K10" s="6">
        <v>5402</v>
      </c>
      <c r="L10" s="6">
        <v>3.1194128491425701</v>
      </c>
      <c r="M10" s="6">
        <v>63.7479348595704</v>
      </c>
      <c r="N10" s="6">
        <v>60.628522010427801</v>
      </c>
      <c r="O10" s="6">
        <v>3.3202517586079199</v>
      </c>
    </row>
    <row r="11" spans="2:15" ht="15.6" x14ac:dyDescent="0.3">
      <c r="B11" s="4">
        <v>5</v>
      </c>
      <c r="C11" s="5">
        <v>5</v>
      </c>
      <c r="D11" s="5">
        <v>5835</v>
      </c>
      <c r="E11" s="5">
        <v>5763</v>
      </c>
      <c r="F11" s="5">
        <v>72</v>
      </c>
      <c r="G11" s="5">
        <v>98.7660668380462</v>
      </c>
      <c r="H11" s="5">
        <v>1.2339331619537199</v>
      </c>
      <c r="I11" s="6">
        <v>29173</v>
      </c>
      <c r="J11" s="6">
        <v>23699</v>
      </c>
      <c r="K11" s="6">
        <v>5474</v>
      </c>
      <c r="L11" s="6">
        <v>4.1217085811680398</v>
      </c>
      <c r="M11" s="6">
        <v>64.597592636299197</v>
      </c>
      <c r="N11" s="6">
        <v>60.475884055131203</v>
      </c>
      <c r="O11" s="6">
        <v>4.3293752283522098</v>
      </c>
    </row>
    <row r="12" spans="2:15" ht="15.6" x14ac:dyDescent="0.3">
      <c r="B12" s="4">
        <v>6</v>
      </c>
      <c r="C12" s="5">
        <v>6</v>
      </c>
      <c r="D12" s="5">
        <v>5834</v>
      </c>
      <c r="E12" s="5">
        <v>5787</v>
      </c>
      <c r="F12" s="5">
        <v>47</v>
      </c>
      <c r="G12" s="5">
        <v>99.194377785395901</v>
      </c>
      <c r="H12" s="5">
        <v>0.80562221460404204</v>
      </c>
      <c r="I12" s="6">
        <v>35007</v>
      </c>
      <c r="J12" s="6">
        <v>29486</v>
      </c>
      <c r="K12" s="6">
        <v>5521</v>
      </c>
      <c r="L12" s="6">
        <v>5.12817837142161</v>
      </c>
      <c r="M12" s="6">
        <v>65.152230351663903</v>
      </c>
      <c r="N12" s="6">
        <v>60.024051980242298</v>
      </c>
      <c r="O12" s="6">
        <v>5.3406991487049398</v>
      </c>
    </row>
    <row r="13" spans="2:15" ht="15.6" x14ac:dyDescent="0.3">
      <c r="B13" s="4">
        <v>7</v>
      </c>
      <c r="C13" s="5">
        <v>7</v>
      </c>
      <c r="D13" s="5">
        <v>5835</v>
      </c>
      <c r="E13" s="5">
        <v>5784</v>
      </c>
      <c r="F13" s="5">
        <v>51</v>
      </c>
      <c r="G13" s="5">
        <v>99.125964010282701</v>
      </c>
      <c r="H13" s="5">
        <v>0.87403598971722796</v>
      </c>
      <c r="I13" s="6">
        <v>40842</v>
      </c>
      <c r="J13" s="6">
        <v>35270</v>
      </c>
      <c r="K13" s="6">
        <v>5572</v>
      </c>
      <c r="L13" s="6">
        <v>6.1341264043966701</v>
      </c>
      <c r="M13" s="6">
        <v>65.754071276846801</v>
      </c>
      <c r="N13" s="6">
        <v>59.619944872450098</v>
      </c>
      <c r="O13" s="6">
        <v>6.3298636037329503</v>
      </c>
    </row>
    <row r="14" spans="2:15" ht="15.6" x14ac:dyDescent="0.3">
      <c r="B14" s="4">
        <v>8</v>
      </c>
      <c r="C14" s="5">
        <v>8</v>
      </c>
      <c r="D14" s="5">
        <v>5834</v>
      </c>
      <c r="E14" s="5">
        <v>5783</v>
      </c>
      <c r="F14" s="5">
        <v>51</v>
      </c>
      <c r="G14" s="5">
        <v>99.125814192663697</v>
      </c>
      <c r="H14" s="5">
        <v>0.87418580733630302</v>
      </c>
      <c r="I14" s="6">
        <v>46676</v>
      </c>
      <c r="J14" s="6">
        <v>41053</v>
      </c>
      <c r="K14" s="6">
        <v>5623</v>
      </c>
      <c r="L14" s="6">
        <v>7.1399005182788899</v>
      </c>
      <c r="M14" s="6">
        <v>66.3559122020297</v>
      </c>
      <c r="N14" s="6">
        <v>59.2160116837508</v>
      </c>
      <c r="O14" s="6">
        <v>7.3009069891516898</v>
      </c>
    </row>
    <row r="15" spans="2:15" ht="15.6" x14ac:dyDescent="0.3">
      <c r="B15" s="4">
        <v>9</v>
      </c>
      <c r="C15" s="5">
        <v>9</v>
      </c>
      <c r="D15" s="5">
        <v>5835</v>
      </c>
      <c r="E15" s="5">
        <v>5791</v>
      </c>
      <c r="F15" s="5">
        <v>44</v>
      </c>
      <c r="G15" s="5">
        <v>99.245929734361596</v>
      </c>
      <c r="H15" s="5">
        <v>0.75407026563838997</v>
      </c>
      <c r="I15" s="6">
        <v>52511</v>
      </c>
      <c r="J15" s="6">
        <v>46844</v>
      </c>
      <c r="K15" s="6">
        <v>5667</v>
      </c>
      <c r="L15" s="6">
        <v>8.1470659849038203</v>
      </c>
      <c r="M15" s="6">
        <v>66.875147510030601</v>
      </c>
      <c r="N15" s="6">
        <v>58.728081525126797</v>
      </c>
      <c r="O15" s="6">
        <v>8.2661019940003495</v>
      </c>
    </row>
    <row r="16" spans="2:15" ht="15.6" x14ac:dyDescent="0.3">
      <c r="B16" s="4">
        <v>10</v>
      </c>
      <c r="C16" s="5">
        <v>10</v>
      </c>
      <c r="D16" s="5">
        <v>5834</v>
      </c>
      <c r="E16" s="5">
        <v>5793</v>
      </c>
      <c r="F16" s="5">
        <v>41</v>
      </c>
      <c r="G16" s="5">
        <v>99.297223174494306</v>
      </c>
      <c r="H16" s="5">
        <v>0.70277682550565101</v>
      </c>
      <c r="I16" s="6">
        <v>58345</v>
      </c>
      <c r="J16" s="6">
        <v>52637</v>
      </c>
      <c r="K16" s="6">
        <v>5708</v>
      </c>
      <c r="L16" s="6">
        <v>9.1545792897144196</v>
      </c>
      <c r="M16" s="6">
        <v>67.358980410667897</v>
      </c>
      <c r="N16" s="6">
        <v>58.204401120953499</v>
      </c>
      <c r="O16" s="6">
        <v>9.2216187806587193</v>
      </c>
    </row>
    <row r="17" spans="2:15" ht="15.6" x14ac:dyDescent="0.3">
      <c r="B17" s="4">
        <v>11</v>
      </c>
      <c r="C17" s="5">
        <v>11</v>
      </c>
      <c r="D17" s="5">
        <v>5835</v>
      </c>
      <c r="E17" s="5">
        <v>5793</v>
      </c>
      <c r="F17" s="5">
        <v>42</v>
      </c>
      <c r="G17" s="5">
        <v>99.280205655526998</v>
      </c>
      <c r="H17" s="5">
        <v>0.71979434447300095</v>
      </c>
      <c r="I17" s="6">
        <v>64180</v>
      </c>
      <c r="J17" s="6">
        <v>58430</v>
      </c>
      <c r="K17" s="6">
        <v>5750</v>
      </c>
      <c r="L17" s="6">
        <v>10.162092594524999</v>
      </c>
      <c r="M17" s="6">
        <v>67.854614113759695</v>
      </c>
      <c r="N17" s="6">
        <v>57.692521519234703</v>
      </c>
      <c r="O17" s="6">
        <v>10.1617391304347</v>
      </c>
    </row>
    <row r="18" spans="2:15" ht="15.6" x14ac:dyDescent="0.3">
      <c r="B18" s="4">
        <v>12</v>
      </c>
      <c r="C18" s="5">
        <v>12</v>
      </c>
      <c r="D18" s="5">
        <v>5834</v>
      </c>
      <c r="E18" s="5">
        <v>5790</v>
      </c>
      <c r="F18" s="5">
        <v>44</v>
      </c>
      <c r="G18" s="5">
        <v>99.245800479945103</v>
      </c>
      <c r="H18" s="5">
        <v>0.75419952005485402</v>
      </c>
      <c r="I18" s="6">
        <v>70014</v>
      </c>
      <c r="J18" s="6">
        <v>64220</v>
      </c>
      <c r="K18" s="6">
        <v>5794</v>
      </c>
      <c r="L18" s="6">
        <v>11.1690841420571</v>
      </c>
      <c r="M18" s="6">
        <v>68.373849421760596</v>
      </c>
      <c r="N18" s="6">
        <v>57.204765279703501</v>
      </c>
      <c r="O18" s="6">
        <v>11.0838798757335</v>
      </c>
    </row>
    <row r="19" spans="2:15" ht="15.6" x14ac:dyDescent="0.3">
      <c r="B19" s="4">
        <v>13</v>
      </c>
      <c r="C19" s="5">
        <v>13</v>
      </c>
      <c r="D19" s="5">
        <v>5835</v>
      </c>
      <c r="E19" s="5">
        <v>5801</v>
      </c>
      <c r="F19" s="5">
        <v>34</v>
      </c>
      <c r="G19" s="5">
        <v>99.417309340188496</v>
      </c>
      <c r="H19" s="5">
        <v>0.58269065981147605</v>
      </c>
      <c r="I19" s="6">
        <v>75849</v>
      </c>
      <c r="J19" s="6">
        <v>70021</v>
      </c>
      <c r="K19" s="6">
        <v>5828</v>
      </c>
      <c r="L19" s="6">
        <v>12.1779887996104</v>
      </c>
      <c r="M19" s="6">
        <v>68.775076705215895</v>
      </c>
      <c r="N19" s="6">
        <v>56.597087905605498</v>
      </c>
      <c r="O19" s="6">
        <v>12.014584763212</v>
      </c>
    </row>
    <row r="20" spans="2:15" ht="15.6" x14ac:dyDescent="0.3">
      <c r="B20" s="4">
        <v>14</v>
      </c>
      <c r="C20" s="5">
        <v>14</v>
      </c>
      <c r="D20" s="5">
        <v>5835</v>
      </c>
      <c r="E20" s="5">
        <v>5805</v>
      </c>
      <c r="F20" s="5">
        <v>30</v>
      </c>
      <c r="G20" s="5">
        <v>99.485861182519201</v>
      </c>
      <c r="H20" s="5">
        <v>0.514138817480713</v>
      </c>
      <c r="I20" s="6">
        <v>81684</v>
      </c>
      <c r="J20" s="6">
        <v>75826</v>
      </c>
      <c r="K20" s="6">
        <v>5858</v>
      </c>
      <c r="L20" s="6">
        <v>13.187589133535001</v>
      </c>
      <c r="M20" s="6">
        <v>69.129100778852901</v>
      </c>
      <c r="N20" s="6">
        <v>55.941511645317803</v>
      </c>
      <c r="O20" s="6">
        <v>12.9440081939228</v>
      </c>
    </row>
    <row r="21" spans="2:15" ht="15.6" x14ac:dyDescent="0.3">
      <c r="B21" s="4">
        <v>15</v>
      </c>
      <c r="C21" s="5">
        <v>15</v>
      </c>
      <c r="D21" s="5">
        <v>5834</v>
      </c>
      <c r="E21" s="5">
        <v>5804</v>
      </c>
      <c r="F21" s="5">
        <v>30</v>
      </c>
      <c r="G21" s="5">
        <v>99.485773054508002</v>
      </c>
      <c r="H21" s="5">
        <v>0.51422694549194103</v>
      </c>
      <c r="I21" s="6">
        <v>87518</v>
      </c>
      <c r="J21" s="6">
        <v>81630</v>
      </c>
      <c r="K21" s="6">
        <v>5888</v>
      </c>
      <c r="L21" s="6">
        <v>14.197015548366799</v>
      </c>
      <c r="M21" s="6">
        <v>69.483124852489894</v>
      </c>
      <c r="N21" s="6">
        <v>55.286109304123002</v>
      </c>
      <c r="O21" s="6">
        <v>13.863790760869501</v>
      </c>
    </row>
    <row r="22" spans="2:15" ht="15.6" x14ac:dyDescent="0.3">
      <c r="B22" s="4">
        <v>16</v>
      </c>
      <c r="C22" s="5">
        <v>16</v>
      </c>
      <c r="D22" s="5">
        <v>5835</v>
      </c>
      <c r="E22" s="5">
        <v>5795</v>
      </c>
      <c r="F22" s="5">
        <v>40</v>
      </c>
      <c r="G22" s="5">
        <v>99.314481576692302</v>
      </c>
      <c r="H22" s="5">
        <v>0.68551842330762702</v>
      </c>
      <c r="I22" s="6">
        <v>93353</v>
      </c>
      <c r="J22" s="6">
        <v>87425</v>
      </c>
      <c r="K22" s="6">
        <v>5928</v>
      </c>
      <c r="L22" s="6">
        <v>15.204876691363101</v>
      </c>
      <c r="M22" s="6">
        <v>69.955156950672603</v>
      </c>
      <c r="N22" s="6">
        <v>54.750280259309399</v>
      </c>
      <c r="O22" s="6">
        <v>14.747807017543799</v>
      </c>
    </row>
    <row r="23" spans="2:15" ht="15.6" x14ac:dyDescent="0.3">
      <c r="B23" s="4">
        <v>17</v>
      </c>
      <c r="C23" s="5">
        <v>17</v>
      </c>
      <c r="D23" s="5">
        <v>5834</v>
      </c>
      <c r="E23" s="5">
        <v>5806</v>
      </c>
      <c r="F23" s="5">
        <v>28</v>
      </c>
      <c r="G23" s="5">
        <v>99.520054850874104</v>
      </c>
      <c r="H23" s="5">
        <v>0.47994514912581099</v>
      </c>
      <c r="I23" s="6">
        <v>99187</v>
      </c>
      <c r="J23" s="6">
        <v>93231</v>
      </c>
      <c r="K23" s="6">
        <v>5956</v>
      </c>
      <c r="L23" s="6">
        <v>16.214650944380601</v>
      </c>
      <c r="M23" s="6">
        <v>70.285579419400506</v>
      </c>
      <c r="N23" s="6">
        <v>54.070928475019798</v>
      </c>
      <c r="O23" s="6">
        <v>15.653290799194</v>
      </c>
    </row>
    <row r="24" spans="2:15" ht="15.6" x14ac:dyDescent="0.3">
      <c r="B24" s="4">
        <v>18</v>
      </c>
      <c r="C24" s="5">
        <v>18</v>
      </c>
      <c r="D24" s="5">
        <v>5835</v>
      </c>
      <c r="E24" s="5">
        <v>5800</v>
      </c>
      <c r="F24" s="5">
        <v>35</v>
      </c>
      <c r="G24" s="5">
        <v>99.400171379605794</v>
      </c>
      <c r="H24" s="5">
        <v>0.59982862039417695</v>
      </c>
      <c r="I24" s="6">
        <v>105022</v>
      </c>
      <c r="J24" s="6">
        <v>99031</v>
      </c>
      <c r="K24" s="6">
        <v>5991</v>
      </c>
      <c r="L24" s="6">
        <v>17.223381682841101</v>
      </c>
      <c r="M24" s="6">
        <v>70.698607505310306</v>
      </c>
      <c r="N24" s="6">
        <v>53.475225822469199</v>
      </c>
      <c r="O24" s="6">
        <v>16.5299616090802</v>
      </c>
    </row>
    <row r="25" spans="2:15" ht="15.6" x14ac:dyDescent="0.3">
      <c r="B25" s="4">
        <v>19</v>
      </c>
      <c r="C25" s="5">
        <v>19</v>
      </c>
      <c r="D25" s="5">
        <v>5834</v>
      </c>
      <c r="E25" s="5">
        <v>5800</v>
      </c>
      <c r="F25" s="5">
        <v>34</v>
      </c>
      <c r="G25" s="5">
        <v>99.417209461775798</v>
      </c>
      <c r="H25" s="5">
        <v>0.58279053822420201</v>
      </c>
      <c r="I25" s="6">
        <v>110856</v>
      </c>
      <c r="J25" s="6">
        <v>104831</v>
      </c>
      <c r="K25" s="6">
        <v>6025</v>
      </c>
      <c r="L25" s="6">
        <v>18.232112421301601</v>
      </c>
      <c r="M25" s="6">
        <v>71.099834788765605</v>
      </c>
      <c r="N25" s="6">
        <v>52.867722367463998</v>
      </c>
      <c r="O25" s="6">
        <v>17.399336099585</v>
      </c>
    </row>
    <row r="26" spans="2:15" ht="15.6" x14ac:dyDescent="0.3">
      <c r="B26" s="4">
        <v>20</v>
      </c>
      <c r="C26" s="5">
        <v>20</v>
      </c>
      <c r="D26" s="5">
        <v>5835</v>
      </c>
      <c r="E26" s="5">
        <v>5801</v>
      </c>
      <c r="F26" s="5">
        <v>34</v>
      </c>
      <c r="G26" s="5">
        <v>99.417309340188496</v>
      </c>
      <c r="H26" s="5">
        <v>0.58269065981147605</v>
      </c>
      <c r="I26" s="6">
        <v>116691</v>
      </c>
      <c r="J26" s="6">
        <v>110632</v>
      </c>
      <c r="K26" s="6">
        <v>6059</v>
      </c>
      <c r="L26" s="6">
        <v>19.241017078854899</v>
      </c>
      <c r="M26" s="6">
        <v>71.501062072220904</v>
      </c>
      <c r="N26" s="6">
        <v>52.260044993365902</v>
      </c>
      <c r="O26" s="6">
        <v>18.2591186664466</v>
      </c>
    </row>
  </sheetData>
  <mergeCells count="2">
    <mergeCell ref="C5:H5"/>
    <mergeCell ref="I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FDR_trn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Seshan</dc:creator>
  <cp:lastModifiedBy>Krishnan Seshan</cp:lastModifiedBy>
  <dcterms:created xsi:type="dcterms:W3CDTF">2025-06-11T02:34:05Z</dcterms:created>
  <dcterms:modified xsi:type="dcterms:W3CDTF">2025-06-11T02:48:27Z</dcterms:modified>
</cp:coreProperties>
</file>